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<sst xmlns="http://schemas.openxmlformats.org/spreadsheetml/2006/main" count="42" uniqueCount="24">
  <si>
    <t>Wipe on entire surface</t>
  </si>
  <si>
    <t>Condition</t>
  </si>
  <si>
    <t>Sample 1</t>
  </si>
  <si>
    <t>timestamp_ms</t>
  </si>
  <si>
    <t>Sample 2</t>
  </si>
  <si>
    <t>raw_adc</t>
  </si>
  <si>
    <t>voltage_v</t>
  </si>
  <si>
    <t>Sample 3</t>
  </si>
  <si>
    <t>(Volts)</t>
  </si>
  <si>
    <t>Measured</t>
  </si>
  <si>
    <t>Dry</t>
  </si>
  <si>
    <t>sampled with adc</t>
  </si>
  <si>
    <t>Blowing On It</t>
  </si>
  <si>
    <t>avg</t>
  </si>
  <si>
    <t>stddev</t>
  </si>
  <si>
    <t>Half wiped down with the wet wipe</t>
  </si>
  <si>
    <t>Entire surface wiped</t>
  </si>
  <si>
    <t>Completely Dry</t>
  </si>
  <si>
    <t>Entire Surface Wipoed</t>
  </si>
  <si>
    <t>Half wiped down with wet wipe</t>
  </si>
  <si>
    <t>Blowing on it</t>
  </si>
  <si>
    <t>Half Wiped Down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</si>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</sst>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Measured voltage as a function of wetness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Data'!$B$2:$B$3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Data'!$B$4:$B$8</c:f>
              <c:numCache/>
            </c:numRef>
          </c:yVal>
        </c:ser>
        <c:ser>
          <c:idx val="1"/>
          <c:order val="1"/>
          <c:tx>
            <c:strRef>
              <c:f>'Summary Data'!$C$2:$C$3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Data'!$C$4:$C$8</c:f>
              <c:numCache/>
            </c:numRef>
          </c:yVal>
        </c:ser>
        <c:ser>
          <c:idx val="2"/>
          <c:order val="2"/>
          <c:tx>
            <c:strRef>
              <c:f>'Summary Data'!$D$2:$D$3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Data'!$D$4:$D$8</c:f>
              <c:numCache/>
            </c:numRef>
          </c:yVal>
        </c:ser>
        <c:ser>
          <c:idx val="3"/>
          <c:order val="3"/>
          <c:tx>
            <c:strRef>
              <c:f>'Summary Data'!$E$2:$E$3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Data'!$A$4:$A$8</c:f>
            </c:numRef>
          </c:xVal>
          <c:yVal>
            <c:numRef>
              <c:f>'Summary Data'!$E$4:$E$8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932566"/>
        <c:axId val="3545340"/>
      </c:scatterChart>
      <c:valAx>
        <c:axId val="14849325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5340"/>
      </c:valAx>
      <c:valAx>
        <c:axId val="3545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932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647700</xdr:colOff>
      <xdr:row>3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8</v>
      </c>
    </row>
    <row r="2">
      <c r="A2" s="2" t="s">
        <v>10</v>
      </c>
      <c r="B2" s="2">
        <v>3.293</v>
      </c>
      <c r="C2" s="2">
        <v>3.293</v>
      </c>
      <c r="D2" s="2">
        <v>3.293</v>
      </c>
    </row>
    <row r="3">
      <c r="A3" s="2" t="s">
        <v>12</v>
      </c>
      <c r="B3" s="2">
        <v>3.293</v>
      </c>
      <c r="C3" s="2">
        <v>3.275</v>
      </c>
      <c r="D3" s="2">
        <v>3.29</v>
      </c>
    </row>
    <row r="4" ht="18.75" customHeight="1">
      <c r="A4" s="2" t="s">
        <v>15</v>
      </c>
      <c r="B4" s="2">
        <v>1.5</v>
      </c>
      <c r="C4" s="2">
        <v>1.3</v>
      </c>
      <c r="D4" s="2">
        <v>1.38</v>
      </c>
    </row>
    <row r="5">
      <c r="A5" s="2" t="s">
        <v>18</v>
      </c>
      <c r="B5" s="2">
        <v>0.8</v>
      </c>
      <c r="C5" s="2">
        <v>0.9</v>
      </c>
      <c r="D5" s="2">
        <v>0.87</v>
      </c>
    </row>
    <row r="6">
      <c r="A6" s="2" t="s">
        <v>0</v>
      </c>
      <c r="B6" s="2">
        <v>0.65</v>
      </c>
      <c r="C6" s="2">
        <v>0.75</v>
      </c>
      <c r="D6" s="2">
        <v>0.64</v>
      </c>
    </row>
    <row r="8">
      <c r="A8" s="5"/>
      <c r="B8" s="6"/>
      <c r="C8" s="6"/>
      <c r="D8" s="6"/>
      <c r="E8" s="6"/>
    </row>
    <row r="9">
      <c r="A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</row>
    <row r="2">
      <c r="A2" s="1" t="s">
        <v>3</v>
      </c>
      <c r="B2" s="1" t="s">
        <v>5</v>
      </c>
      <c r="C2" s="1" t="s">
        <v>6</v>
      </c>
    </row>
    <row r="3">
      <c r="A3" s="4">
        <v>1426377.0</v>
      </c>
      <c r="B3" s="4">
        <v>13507.0</v>
      </c>
      <c r="C3" s="4">
        <v>0.68</v>
      </c>
    </row>
    <row r="4">
      <c r="A4" s="4">
        <v>1427377.0</v>
      </c>
      <c r="B4" s="4">
        <v>13491.0</v>
      </c>
      <c r="C4" s="4">
        <v>0.679</v>
      </c>
    </row>
    <row r="5">
      <c r="A5" s="4">
        <v>1428377.0</v>
      </c>
      <c r="B5" s="4">
        <v>13507.0</v>
      </c>
      <c r="C5" s="4">
        <v>0.68</v>
      </c>
    </row>
    <row r="6">
      <c r="A6" s="4">
        <v>1429377.0</v>
      </c>
      <c r="B6" s="4">
        <v>13459.0</v>
      </c>
      <c r="C6" s="4">
        <v>0.678</v>
      </c>
    </row>
    <row r="7">
      <c r="A7" s="4">
        <v>1430377.0</v>
      </c>
      <c r="B7" s="4">
        <v>13395.0</v>
      </c>
      <c r="C7" s="4">
        <v>0.675</v>
      </c>
    </row>
    <row r="8">
      <c r="A8" s="3"/>
      <c r="B8" s="3"/>
      <c r="C8" s="3"/>
    </row>
    <row r="9">
      <c r="A9" s="1" t="s">
        <v>16</v>
      </c>
      <c r="B9" s="3"/>
      <c r="C9" s="3"/>
    </row>
    <row r="10">
      <c r="A10" s="1" t="s">
        <v>3</v>
      </c>
      <c r="B10" s="1" t="s">
        <v>5</v>
      </c>
      <c r="C10" s="1" t="s">
        <v>6</v>
      </c>
    </row>
    <row r="11">
      <c r="A11" s="4">
        <v>1413767.0</v>
      </c>
      <c r="B11" s="4">
        <v>18148.0</v>
      </c>
      <c r="C11" s="4">
        <v>0.914</v>
      </c>
    </row>
    <row r="12">
      <c r="A12" s="4">
        <v>1414767.0</v>
      </c>
      <c r="B12" s="4">
        <v>12723.0</v>
      </c>
      <c r="C12" s="4">
        <v>0.641</v>
      </c>
    </row>
    <row r="13">
      <c r="A13" s="4">
        <v>1415767.0</v>
      </c>
      <c r="B13" s="4">
        <v>17108.0</v>
      </c>
      <c r="C13" s="4">
        <v>0.861</v>
      </c>
    </row>
    <row r="14">
      <c r="A14" s="4">
        <v>1416767.0</v>
      </c>
      <c r="B14" s="4">
        <v>18740.0</v>
      </c>
      <c r="C14" s="4">
        <v>0.944</v>
      </c>
    </row>
    <row r="15">
      <c r="A15" s="4">
        <v>1417767.0</v>
      </c>
      <c r="B15" s="4">
        <v>21493.0</v>
      </c>
      <c r="C15" s="4">
        <v>1.082</v>
      </c>
    </row>
    <row r="16">
      <c r="A16" s="3"/>
      <c r="B16" s="3"/>
      <c r="C16" s="3"/>
    </row>
    <row r="17">
      <c r="A17" s="1" t="s">
        <v>19</v>
      </c>
      <c r="B17" s="3"/>
      <c r="C17" s="3"/>
    </row>
    <row r="18">
      <c r="A18" s="1" t="s">
        <v>3</v>
      </c>
      <c r="B18" s="1" t="s">
        <v>5</v>
      </c>
      <c r="C18" s="1" t="s">
        <v>6</v>
      </c>
    </row>
    <row r="19">
      <c r="A19" s="4">
        <v>1398977.0</v>
      </c>
      <c r="B19" s="4">
        <v>26758.0</v>
      </c>
      <c r="C19" s="4">
        <v>1.347</v>
      </c>
    </row>
    <row r="20">
      <c r="A20" s="4">
        <v>1399977.0</v>
      </c>
      <c r="B20" s="4">
        <v>5729.0</v>
      </c>
      <c r="C20" s="4">
        <v>0.288</v>
      </c>
    </row>
    <row r="21">
      <c r="A21" s="4">
        <v>1400977.0</v>
      </c>
      <c r="B21" s="4">
        <v>21765.0</v>
      </c>
      <c r="C21" s="4">
        <v>1.096</v>
      </c>
    </row>
    <row r="22">
      <c r="A22" s="4">
        <v>1401977.0</v>
      </c>
      <c r="B22" s="4">
        <v>20853.0</v>
      </c>
      <c r="C22" s="4">
        <v>1.05</v>
      </c>
    </row>
    <row r="23">
      <c r="A23" s="4">
        <v>1402977.0</v>
      </c>
      <c r="B23" s="4">
        <v>23349.0</v>
      </c>
      <c r="C23" s="4">
        <v>1.176</v>
      </c>
    </row>
    <row r="24">
      <c r="A24" s="3"/>
      <c r="B24" s="3"/>
      <c r="C24" s="3"/>
    </row>
    <row r="25">
      <c r="A25" s="1" t="s">
        <v>20</v>
      </c>
      <c r="B25" s="3"/>
      <c r="C25" s="3"/>
    </row>
    <row r="26">
      <c r="A26" s="1" t="s">
        <v>3</v>
      </c>
      <c r="B26" s="1" t="s">
        <v>5</v>
      </c>
      <c r="C26" s="1" t="s">
        <v>6</v>
      </c>
    </row>
    <row r="27">
      <c r="A27" s="4">
        <v>1382737.0</v>
      </c>
      <c r="B27" s="4">
        <v>61054.0</v>
      </c>
      <c r="C27" s="4">
        <v>3.074</v>
      </c>
    </row>
    <row r="28">
      <c r="A28" s="4">
        <v>1383737.0</v>
      </c>
      <c r="B28" s="4">
        <v>61839.0</v>
      </c>
      <c r="C28" s="4">
        <v>3.114</v>
      </c>
    </row>
    <row r="29">
      <c r="A29" s="4">
        <v>1384737.0</v>
      </c>
      <c r="B29" s="4">
        <v>65535.0</v>
      </c>
      <c r="C29" s="4">
        <v>3.3</v>
      </c>
    </row>
    <row r="30">
      <c r="A30" s="4">
        <v>1385737.0</v>
      </c>
      <c r="B30" s="4">
        <v>34616.0</v>
      </c>
      <c r="C30" s="4">
        <v>1.743</v>
      </c>
    </row>
    <row r="31">
      <c r="A31" s="4">
        <v>1386737.0</v>
      </c>
      <c r="B31" s="4">
        <v>38073.0</v>
      </c>
      <c r="C31" s="4">
        <v>1.917</v>
      </c>
    </row>
    <row r="32">
      <c r="A32" s="3"/>
      <c r="B32" s="3"/>
      <c r="C32" s="3"/>
    </row>
    <row r="33">
      <c r="A33" s="1" t="s">
        <v>17</v>
      </c>
      <c r="B33" s="3"/>
      <c r="C33" s="3"/>
    </row>
    <row r="34">
      <c r="A34" s="1" t="s">
        <v>3</v>
      </c>
      <c r="B34" s="1" t="s">
        <v>5</v>
      </c>
      <c r="C34" s="1" t="s">
        <v>6</v>
      </c>
    </row>
    <row r="35">
      <c r="A35" s="4">
        <v>1356167.0</v>
      </c>
      <c r="B35" s="4">
        <v>65535.0</v>
      </c>
      <c r="C35" s="4">
        <v>3.3</v>
      </c>
    </row>
    <row r="36">
      <c r="A36" s="4">
        <v>1357168.0</v>
      </c>
      <c r="B36" s="4">
        <v>65535.0</v>
      </c>
      <c r="C36" s="4">
        <v>3.3</v>
      </c>
    </row>
    <row r="37">
      <c r="A37" s="4">
        <v>1358168.0</v>
      </c>
      <c r="B37" s="4">
        <v>65535.0</v>
      </c>
      <c r="C37" s="4">
        <v>3.3</v>
      </c>
    </row>
    <row r="38">
      <c r="A38" s="4">
        <v>1359168.0</v>
      </c>
      <c r="B38" s="4">
        <v>65535.0</v>
      </c>
      <c r="C38" s="4">
        <v>3.3</v>
      </c>
    </row>
    <row r="39">
      <c r="A39" s="4">
        <v>1360168.0</v>
      </c>
      <c r="B39" s="4">
        <v>65535.0</v>
      </c>
      <c r="C39" s="4">
        <v>3.3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</v>
      </c>
      <c r="B2" s="2" t="s">
        <v>9</v>
      </c>
      <c r="D2" s="2" t="s">
        <v>11</v>
      </c>
    </row>
    <row r="3">
      <c r="B3" s="2" t="s">
        <v>13</v>
      </c>
      <c r="C3" s="2" t="s">
        <v>14</v>
      </c>
      <c r="D3" s="2" t="s">
        <v>13</v>
      </c>
      <c r="E3" s="2" t="s">
        <v>14</v>
      </c>
    </row>
    <row r="4">
      <c r="A4" s="2" t="s">
        <v>17</v>
      </c>
      <c r="B4" s="7">
        <f>AVERAGE('Manual Data'!$B2,$D2)</f>
        <v>3.293</v>
      </c>
      <c r="C4" s="7">
        <f>STDEV('Manual Data'!$B2:$D2)</f>
        <v>0</v>
      </c>
      <c r="D4" s="8">
        <f>AVERAGE('Automated Data'!C35:C39)</f>
        <v>3.3</v>
      </c>
      <c r="E4" s="8">
        <f>STDEV('Automated Data'!C35:C39)</f>
        <v>0</v>
      </c>
    </row>
    <row r="5">
      <c r="A5" s="2" t="s">
        <v>20</v>
      </c>
      <c r="B5" s="7">
        <f>AVERAGE('Manual Data'!$B3,$D3)</f>
        <v>3.293</v>
      </c>
      <c r="C5" s="7">
        <f>STDEV('Manual Data'!$B3:$D3)</f>
        <v>0.009643650761</v>
      </c>
      <c r="D5" s="8">
        <f>average('Automated Data'!C27:C31)</f>
        <v>2.6296</v>
      </c>
      <c r="E5" s="8">
        <f>STDEV('Automated Data'!C27:C31)</f>
        <v>0.7374668128</v>
      </c>
    </row>
    <row r="6">
      <c r="A6" s="2" t="s">
        <v>21</v>
      </c>
      <c r="B6" s="7">
        <f>AVERAGE('Manual Data'!$B4,$D4)</f>
        <v>2.4</v>
      </c>
      <c r="C6" s="7">
        <f>STDEV('Manual Data'!$B4:$D4)</f>
        <v>0.1006644591</v>
      </c>
      <c r="D6" s="8">
        <f>average('Automated Data'!C19:C23)</f>
        <v>0.9914</v>
      </c>
      <c r="E6" s="8">
        <f>STDEV('Automated Data'!C19:C23)</f>
        <v>0.409168425</v>
      </c>
    </row>
    <row r="7">
      <c r="A7" s="2" t="s">
        <v>22</v>
      </c>
      <c r="B7" s="7">
        <f>AVERAGE('Manual Data'!$B5,$D5)</f>
        <v>1.7148</v>
      </c>
      <c r="C7" s="7">
        <f>STDEV('Manual Data'!$B5:$D5)</f>
        <v>0.05131601439</v>
      </c>
      <c r="D7" s="8">
        <f>average('Automated Data'!C11:C15)</f>
        <v>0.8884</v>
      </c>
      <c r="E7" s="8">
        <f>STDEV('Automated Data'!C11:C15)</f>
        <v>0.160612266</v>
      </c>
    </row>
    <row r="8">
      <c r="A8" s="2" t="s">
        <v>23</v>
      </c>
      <c r="B8" s="7">
        <f>AVERAGE('Manual Data'!$B6,$D6)</f>
        <v>0.8207</v>
      </c>
      <c r="C8" s="7">
        <f>STDEV('Manual Data'!$B6:$D6)</f>
        <v>0.0608276253</v>
      </c>
      <c r="D8" s="8">
        <f>average('Automated Data'!C3:C7)</f>
        <v>0.6784</v>
      </c>
      <c r="E8" s="8">
        <f>STDEV('Automated Data'!C3:C7)</f>
        <v>0.002073644135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